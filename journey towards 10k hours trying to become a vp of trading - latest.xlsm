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S:\Personal Folders\"/>
    </mc:Choice>
  </mc:AlternateContent>
  <xr:revisionPtr revIDLastSave="0" documentId="8_{26CB702C-3BBB-4B33-A61A-A34784E8972B}" xr6:coauthVersionLast="47" xr6:coauthVersionMax="47" xr10:uidLastSave="{00000000-0000-0000-0000-000000000000}"/>
  <bookViews>
    <workbookView xWindow="3120" yWindow="3120" windowWidth="21600" windowHeight="11385" xr2:uid="{00000000-000D-0000-FFFF-FFFF00000000}"/>
  </bookViews>
  <sheets>
    <sheet name="Sheet1" sheetId="1" r:id="rId1"/>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2" i="1"/>
  <c r="A5" i="1" s="1"/>
  <c r="H6" i="1" a="1"/>
  <c r="J5" i="1" a="1"/>
  <c r="H6" i="1" l="1"/>
  <c r="J5" i="1"/>
  <c r="G5" i="1"/>
  <c r="C2" i="1"/>
  <c r="D2" i="1"/>
  <c r="D4" i="1" s="1"/>
  <c r="E2" i="1"/>
  <c r="F2" i="1" l="1"/>
  <c r="G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<sst xmlns="http://schemas.openxmlformats.org/spreadsheetml/2006/main" count="64" uniqueCount="63">
  <si>
    <t>total hours in</t>
  </si>
  <si>
    <t xml:space="preserve">total days in </t>
  </si>
  <si>
    <t xml:space="preserve">years in </t>
  </si>
  <si>
    <t>average a day</t>
  </si>
  <si>
    <t>hours remaining</t>
  </si>
  <si>
    <t xml:space="preserve">~days left </t>
  </si>
  <si>
    <t>~years left</t>
  </si>
  <si>
    <t>books read in 2023</t>
  </si>
  <si>
    <t>energy trading &amp; investing 5/5</t>
  </si>
  <si>
    <t>average per month</t>
  </si>
  <si>
    <t>linear programming &amp; economic analysis 1/5</t>
  </si>
  <si>
    <t xml:space="preserve">%hours </t>
  </si>
  <si>
    <t>convex optimization of power systems 1/5</t>
  </si>
  <si>
    <t>ave a day goal:</t>
  </si>
  <si>
    <t>hour deficit</t>
  </si>
  <si>
    <t>Learning Mysql 2/5</t>
  </si>
  <si>
    <t>linear programming 3/5</t>
  </si>
  <si>
    <t xml:space="preserve">Date </t>
  </si>
  <si>
    <t>Hours</t>
  </si>
  <si>
    <t>Comments</t>
  </si>
  <si>
    <t>spent time interviewing for a job in NY</t>
  </si>
  <si>
    <t xml:space="preserve">read energy trading and investing book </t>
  </si>
  <si>
    <t xml:space="preserve">read energy trading book </t>
  </si>
  <si>
    <t xml:space="preserve">spent 5 hours reading energy trading, 2 hours studying SQL </t>
  </si>
  <si>
    <t>spent 5.5 hours reading, .5 hours on SQL</t>
  </si>
  <si>
    <t>finished energy trading book &amp; summarized it</t>
  </si>
  <si>
    <t>read 1 hour derivatives, worked on understanding pricing 1 hr, read linear programming 1 hr</t>
  </si>
  <si>
    <t>had a lot of work past three days, no excuses, need to be a better man</t>
  </si>
  <si>
    <t>3 hours sql, 2 hours excel, 3 hours LP, 3 hours derivatives</t>
  </si>
  <si>
    <t xml:space="preserve">3 hours excel, 1 hour sql </t>
  </si>
  <si>
    <t>2 hours lp, 1.5 hours derivatives</t>
  </si>
  <si>
    <t xml:space="preserve">3.5 derivatives, 1.5 sql </t>
  </si>
  <si>
    <t>2 hours each of sql,vba, options</t>
  </si>
  <si>
    <t>2 hours sql, LP</t>
  </si>
  <si>
    <t>LP, excel</t>
  </si>
  <si>
    <t>3.5 hours LP, 4 hours VBA</t>
  </si>
  <si>
    <t>5.5 LP, .5 VBA</t>
  </si>
  <si>
    <t>7 hour LP, 1 hour vba</t>
  </si>
  <si>
    <t>1.5 VBA, 3.5 LP</t>
  </si>
  <si>
    <t>4LP, 1VBA</t>
  </si>
  <si>
    <t xml:space="preserve">2.5 VBA, 3 Convex </t>
  </si>
  <si>
    <t>drove to the office to have meeting with JG</t>
  </si>
  <si>
    <t>various convesations etc. did some work with spreadsheets related to new job</t>
  </si>
  <si>
    <t xml:space="preserve">Title </t>
  </si>
  <si>
    <t>Pricing analyst</t>
  </si>
  <si>
    <t>notes</t>
  </si>
  <si>
    <t xml:space="preserve">first job on trading desk at shell </t>
  </si>
  <si>
    <t xml:space="preserve">hours in when achieved </t>
  </si>
  <si>
    <t>environmental portfolio analyst</t>
  </si>
  <si>
    <t>mathematical programming for power systems operations 2/5</t>
  </si>
  <si>
    <t>looked at some new spreadsheets from drew, got some more excel reps in there</t>
  </si>
  <si>
    <t xml:space="preserve">got better acquainted with mostly the same spreadsheets as yesterday but got better with them because I really fucking had to, I also learned some new excel stuff. </t>
  </si>
  <si>
    <t>gathered insight into how dicked the recs/risk relationship is</t>
  </si>
  <si>
    <t>figured out how to do something for drew, got sql installed on computer, began to plan how to build the sql database for recs/risk</t>
  </si>
  <si>
    <t xml:space="preserve">created query to try calculate part of rec obligation, created NOP reporting for ERCOT </t>
  </si>
  <si>
    <t xml:space="preserve">forecasted date when I become VP: </t>
  </si>
  <si>
    <t>learned about drew's waterfall method for calculating NOP/dealing with retirements. Understood why some other shit wasn't working</t>
  </si>
  <si>
    <t>programmed NOP stuff in python to make our calculations dynamic</t>
  </si>
  <si>
    <t>built out some more functionality for the rec library - reclib ~ 250 lines of code</t>
  </si>
  <si>
    <t>built more stuff for drew. Nop reporting should be roughly complete this weekend. All of the data is there pm and all the functionality. Tweaking and putting data onto sheets at this point</t>
  </si>
  <si>
    <t>created a table in a db and worked more on nop reporting</t>
  </si>
  <si>
    <t>created a data entry tool to submit a logged trade from excel to sql</t>
  </si>
  <si>
    <t xml:space="preserve">~age when vp: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</si>
</sst>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400]h:mm:ss\ AM/PM"/>
    <numFmt numFmtId="165" formatCode="[$-409]mmmmm\-yy;@"/>
    <numFmt numFmtId="166" formatCode="0.0"/>
  </numFmts>
  <fonts count="15" x14ac:knownFonts="1">
    <font>
      <sz val="10"/>
      <color rgb="FF000000"/>
      <name val="Arial"/>
      <scheme val="minor"/>
    </font>
    <font>
      <sz val="11"/>
      <color theme="1"/>
      <name val="Arial"/>
      <family val="2"/>
      <scheme val="minor"/>
    </font>
    <font>
      <sz val="10"/>
      <color theme="1"/>
      <name val="Arial"/>
      <scheme val="minor"/>
    </font>
    <font>
      <b/>
      <sz val="10"/>
      <color theme="1"/>
      <name val="Arial"/>
      <scheme val="minor"/>
    </font>
    <font>
      <b/>
      <sz val="16"/>
      <color theme="1"/>
      <name val="Arial"/>
      <scheme val="minor"/>
    </font>
    <font>
      <b/>
      <sz val="17"/>
      <color theme="1"/>
      <name val="Arial"/>
      <scheme val="minor"/>
    </font>
    <font>
      <b/>
      <sz val="10"/>
      <color theme="1"/>
      <name val="Arial"/>
    </font>
    <font>
      <sz val="10"/>
      <color theme="1"/>
      <name val="Arial"/>
    </font>
    <font>
      <sz val="24"/>
      <name val="Arial"/>
      <family val="2"/>
      <scheme val="minor"/>
    </font>
    <font>
      <sz val="10"/>
      <color rgb="FF000000"/>
      <name val="Arial"/>
      <family val="2"/>
      <scheme val="minor"/>
    </font>
    <font>
      <sz val="10"/>
      <color theme="1"/>
      <name val="Arial"/>
      <family val="2"/>
      <scheme val="minor"/>
    </font>
    <font>
      <b/>
      <sz val="10"/>
      <color rgb="FF000000"/>
      <name val="Arial"/>
      <family val="2"/>
      <scheme val="minor"/>
    </font>
    <font>
      <sz val="11"/>
      <color rgb="FF006100"/>
      <name val="Arial"/>
      <family val="2"/>
      <scheme val="minor"/>
    </font>
    <font>
      <sz val="11"/>
      <color theme="0"/>
      <name val="Arial"/>
      <family val="2"/>
      <scheme val="minor"/>
    </font>
    <font>
      <sz val="18"/>
      <color theme="1"/>
      <name val="Aharoni"/>
      <charset val="177"/>
    </font>
  </fonts>
  <fills count="4">
    <fill>
      <patternFill patternType="none"/>
    </fill>
    <fill>
      <patternFill patternType="gray125"/>
    </fill>
    <fill>
      <patternFill patternType="solid">
        <fgColor rgb="FFC6EFCE"/>
      </patternFill>
    </fill>
    <fill>
      <patternFill patternType="solid">
        <fgColor theme="4"/>
      </patternFill>
    </fill>
  </fills>
  <borders count="1">
    <border>
      <left/>
      <right/>
      <top/>
      <bottom/>
      <diagonal/>
    </border>
  </borders>
  <cellStyleXfs count="3">
    <xf numFmtId="0" fontId="0" fillId="0" borderId="0"/>
    <xf numFmtId="0" fontId="12" fillId="2" borderId="0" applyNumberFormat="0" applyBorder="0" applyAlignment="0" applyProtection="0"/>
    <xf numFmtId="0" fontId="13" fillId="3" borderId="0" applyNumberFormat="0" applyBorder="0" applyAlignment="0" applyProtection="0"/>
  </cellStyleXfs>
  <cellXfs count="24">
    <xf numFmtId="0" fontId="0" fillId="0" borderId="0" xfId="0"/>
    <xf numFmtId="0" fontId="2" fillId="0" borderId="0" xfId="0" applyFont="1"/>
    <xf numFmtId="0" fontId="3" fillId="0" borderId="0" xfId="0" applyFont="1"/>
    <xf numFmtId="2" fontId="2" fillId="0" borderId="0" xfId="0" applyNumberFormat="1" applyFont="1"/>
    <xf numFmtId="2" fontId="4" fillId="0" borderId="0" xfId="0" applyNumberFormat="1" applyFont="1"/>
    <xf numFmtId="0" fontId="5" fillId="0" borderId="0" xfId="0" applyFont="1"/>
    <xf numFmtId="2" fontId="5" fillId="0" borderId="0" xfId="0" applyNumberFormat="1" applyFont="1"/>
    <xf numFmtId="14" fontId="2" fillId="0" borderId="0" xfId="0" applyNumberFormat="1" applyFont="1"/>
    <xf numFmtId="14" fontId="6" fillId="0" borderId="0" xfId="0" applyNumberFormat="1" applyFont="1"/>
    <xf numFmtId="0" fontId="6" fillId="0" borderId="0" xfId="0" applyFont="1"/>
    <xf numFmtId="0" fontId="7" fillId="0" borderId="0" xfId="0" applyFont="1"/>
    <xf numFmtId="14" fontId="7" fillId="0" borderId="0" xfId="0" applyNumberFormat="1" applyFont="1" applyAlignment="1">
      <alignment horizontal="right"/>
    </xf>
    <xf numFmtId="0" fontId="7" fillId="0" borderId="0" xfId="0" applyFont="1" applyAlignment="1">
      <alignment horizontal="right"/>
    </xf>
    <xf numFmtId="0" fontId="8" fillId="0" borderId="0" xfId="0" applyFont="1"/>
    <xf numFmtId="0" fontId="9" fillId="0" borderId="0" xfId="0" applyFont="1"/>
    <xf numFmtId="0" fontId="10" fillId="0" borderId="0" xfId="0" applyFont="1"/>
    <xf numFmtId="14" fontId="0" fillId="0" borderId="0" xfId="0" applyNumberFormat="1"/>
    <xf numFmtId="0" fontId="11" fillId="0" borderId="0" xfId="0" applyFont="1"/>
    <xf numFmtId="14" fontId="12" fillId="2" borderId="0" xfId="1" applyNumberFormat="1" applyAlignment="1">
      <alignment horizontal="right"/>
    </xf>
    <xf numFmtId="164" fontId="0" fillId="0" borderId="0" xfId="0" applyNumberFormat="1"/>
    <xf numFmtId="0" fontId="1" fillId="3" borderId="0" xfId="2" applyFont="1"/>
    <xf numFmtId="14" fontId="14" fillId="3" borderId="0" xfId="2" applyNumberFormat="1" applyFont="1"/>
    <xf numFmtId="165" fontId="0" fillId="0" borderId="0" xfId="0" applyNumberFormat="1"/>
    <xf numFmtId="166" fontId="0" fillId="0" borderId="0" xfId="0" applyNumberFormat="1"/>
  </cellXfs>
  <cellStyles count="3">
    <cellStyle name="Accent1" xfId="2" builtinId="29"/>
    <cellStyle name="Good" xfId="1" builtinId="26"/>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L81"/>
  <sheetViews>
    <sheetView tabSelected="1" workbookViewId="0">
      <pane ySplit="7" topLeftCell="A8" activePane="bottomLeft" state="frozen"/>
      <selection pane="bottomLeft" activeCell="J3" sqref="J3"/>
    </sheetView>
  </sheetViews>
  <sheetFormatPr defaultColWidth="12.5703125" defaultRowHeight="15.75" customHeight="1" x14ac:dyDescent="0.2"/>
  <cols>
    <col min="6" max="6" width="15.42578125" customWidth="1"/>
    <col min="8" max="8" width="26.42578125" customWidth="1"/>
    <col min="10" max="10" width="15.85546875" customWidth="1"/>
    <col min="11" max="11" width="24.85546875" customWidth="1"/>
    <col min="12" max="12" width="53" customWidth="1"/>
    <col min="13" max="13" width="13.28515625" customWidth="1"/>
    <col min="14" max="14" width="28.28515625" customWidth="1"/>
    <col min="15" max="15" width="27.140625" customWidth="1"/>
  </cols>
  <sheetData>
    <row r="1" spans="1:12" ht="12.75" x14ac:dyDescent="0.2">
      <c r="A1" s="1" t="s">
        <v>0</v>
      </c>
      <c r="B1" s="1" t="s">
        <v>1</v>
      </c>
      <c r="C1" s="1" t="s">
        <v>2</v>
      </c>
      <c r="D1" s="2" t="s">
        <v>3</v>
      </c>
      <c r="E1" s="1" t="s">
        <v>4</v>
      </c>
      <c r="F1" s="1" t="s">
        <v>5</v>
      </c>
      <c r="G1" s="2" t="s">
        <v>6</v>
      </c>
      <c r="H1" s="17" t="s">
        <v>43</v>
      </c>
      <c r="J1" s="17" t="s">
        <v>45</v>
      </c>
      <c r="K1" s="17" t="s">
        <v>47</v>
      </c>
      <c r="L1" s="2" t="s">
        <v>7</v>
      </c>
    </row>
    <row r="2" spans="1:12" ht="21.75" x14ac:dyDescent="0.3">
      <c r="A2" s="1">
        <f>SUM(B8:B999)</f>
        <v>307</v>
      </c>
      <c r="B2" s="1">
        <f>COUNTA(A8:A999)</f>
        <v>55</v>
      </c>
      <c r="C2" s="3">
        <f>B2/365</f>
        <v>0.15068493150684931</v>
      </c>
      <c r="D2" s="4">
        <f>A2/B2</f>
        <v>5.581818181818182</v>
      </c>
      <c r="E2" s="5">
        <f>10000-A2</f>
        <v>9693</v>
      </c>
      <c r="F2" s="3">
        <f>E2/D2</f>
        <v>1736.5309446254071</v>
      </c>
      <c r="G2" s="6">
        <f>F2/365</f>
        <v>4.7576190263709783</v>
      </c>
      <c r="H2" s="14" t="s">
        <v>44</v>
      </c>
      <c r="I2" s="16">
        <v>44774</v>
      </c>
      <c r="J2" s="14"/>
      <c r="K2">
        <v>0</v>
      </c>
      <c r="L2" s="1" t="s">
        <v>8</v>
      </c>
    </row>
    <row r="3" spans="1:12" ht="12.75" x14ac:dyDescent="0.2">
      <c r="D3" s="2" t="s">
        <v>9</v>
      </c>
      <c r="H3" s="14" t="s">
        <v>48</v>
      </c>
      <c r="I3" s="16">
        <v>45054</v>
      </c>
      <c r="J3" s="14" t="s">
        <v>46</v>
      </c>
      <c r="K3">
        <v>135</v>
      </c>
      <c r="L3" s="1" t="s">
        <v>10</v>
      </c>
    </row>
    <row r="4" spans="1:12" ht="12.75" x14ac:dyDescent="0.2">
      <c r="A4" s="2" t="s">
        <v>11</v>
      </c>
      <c r="D4" s="1">
        <f>D2*30</f>
        <v>167.45454545454547</v>
      </c>
      <c r="L4" s="1" t="s">
        <v>12</v>
      </c>
    </row>
    <row r="5" spans="1:12" ht="30" x14ac:dyDescent="0.4">
      <c r="A5" s="5">
        <f>(A2/10000)*100</f>
        <v>3.0700000000000003</v>
      </c>
      <c r="D5" s="1" t="s">
        <v>13</v>
      </c>
      <c r="E5" s="1">
        <v>7</v>
      </c>
      <c r="F5" s="1" t="s">
        <v>14</v>
      </c>
      <c r="G5" s="13">
        <f>E5*B2-A2</f>
        <v>78</v>
      </c>
      <c r="H5" s="20" t="s">
        <v>55</v>
      </c>
      <c r="I5" s="20"/>
      <c r="J5" s="21" cm="1">
        <f t="array" ref="J5">AddYearsToDate(G2)</f>
        <v>46812</v>
      </c>
      <c r="K5" s="16"/>
      <c r="L5" s="1" t="s">
        <v>15</v>
      </c>
    </row>
    <row r="6" spans="1:12" ht="12.75" x14ac:dyDescent="0.2">
      <c r="A6" s="7"/>
      <c r="E6" s="14"/>
      <c r="F6" s="16"/>
      <c r="G6" s="14" t="s">
        <v>62</v>
      </c>
      <c r="H6" s="23" cm="1">
        <f t="array" ref="H6">PerformCalculation(2,29,2028)</f>
        <v>29.567123287671233</v>
      </c>
      <c r="J6" s="16"/>
      <c r="L6" s="1" t="s">
        <v>16</v>
      </c>
    </row>
    <row r="7" spans="1:12" ht="12.75" x14ac:dyDescent="0.2">
      <c r="A7" s="8" t="s">
        <v>17</v>
      </c>
      <c r="B7" s="9" t="s">
        <v>18</v>
      </c>
      <c r="C7" s="9" t="s">
        <v>19</v>
      </c>
      <c r="D7" s="10"/>
      <c r="L7" s="1" t="s">
        <v>49</v>
      </c>
    </row>
    <row r="8" spans="1:12" ht="19.5" customHeight="1" x14ac:dyDescent="0.2">
      <c r="A8" s="11">
        <v>45019</v>
      </c>
      <c r="B8" s="12">
        <v>2</v>
      </c>
      <c r="C8" s="10" t="s">
        <v>20</v>
      </c>
      <c r="D8" s="10"/>
    </row>
    <row r="9" spans="1:12" ht="12.75" x14ac:dyDescent="0.2">
      <c r="A9" s="11">
        <v>45020</v>
      </c>
      <c r="B9" s="12">
        <v>2</v>
      </c>
      <c r="C9" s="10" t="s">
        <v>21</v>
      </c>
      <c r="D9" s="10"/>
    </row>
    <row r="10" spans="1:12" ht="12.75" x14ac:dyDescent="0.2">
      <c r="A10" s="11">
        <v>45022</v>
      </c>
      <c r="B10" s="12">
        <v>4.5</v>
      </c>
      <c r="C10" s="10" t="s">
        <v>22</v>
      </c>
      <c r="D10" s="10"/>
    </row>
    <row r="11" spans="1:12" ht="12.75" x14ac:dyDescent="0.2">
      <c r="A11" s="11">
        <v>45023</v>
      </c>
      <c r="B11" s="12">
        <v>7</v>
      </c>
      <c r="C11" s="10" t="s">
        <v>23</v>
      </c>
      <c r="D11" s="10"/>
      <c r="J11" s="16"/>
    </row>
    <row r="12" spans="1:12" ht="12.75" x14ac:dyDescent="0.2">
      <c r="A12" s="11">
        <v>45024</v>
      </c>
      <c r="B12" s="12">
        <v>6</v>
      </c>
      <c r="C12" s="10" t="s">
        <v>24</v>
      </c>
      <c r="D12" s="10"/>
    </row>
    <row r="13" spans="1:12" ht="12.75" x14ac:dyDescent="0.2">
      <c r="A13" s="11">
        <v>45025</v>
      </c>
      <c r="B13" s="12">
        <v>1.5</v>
      </c>
      <c r="C13" s="10" t="s">
        <v>22</v>
      </c>
      <c r="D13" s="10"/>
    </row>
    <row r="14" spans="1:12" ht="12.75" x14ac:dyDescent="0.2">
      <c r="A14" s="11">
        <v>45026</v>
      </c>
      <c r="B14" s="12">
        <v>6</v>
      </c>
      <c r="C14" s="10" t="s">
        <v>25</v>
      </c>
      <c r="D14" s="10"/>
    </row>
    <row r="15" spans="1:12" ht="12.75" x14ac:dyDescent="0.2">
      <c r="A15" s="11">
        <v>45027</v>
      </c>
      <c r="B15" s="12">
        <v>3</v>
      </c>
      <c r="C15" s="10" t="s">
        <v>26</v>
      </c>
      <c r="D15" s="10"/>
      <c r="I15" s="16"/>
      <c r="J15" s="16"/>
    </row>
    <row r="16" spans="1:12" ht="12.75" x14ac:dyDescent="0.2">
      <c r="A16" s="11">
        <v>45028</v>
      </c>
      <c r="B16" s="12">
        <v>0</v>
      </c>
      <c r="C16" s="10"/>
      <c r="D16" s="10"/>
      <c r="I16" s="16"/>
      <c r="K16" s="22"/>
    </row>
    <row r="17" spans="1:4" ht="12.75" x14ac:dyDescent="0.2">
      <c r="A17" s="11">
        <v>45029</v>
      </c>
      <c r="B17" s="12">
        <v>0</v>
      </c>
      <c r="C17" s="10"/>
      <c r="D17" s="10"/>
    </row>
    <row r="18" spans="1:4" ht="12.75" x14ac:dyDescent="0.2">
      <c r="A18" s="11">
        <v>45030</v>
      </c>
      <c r="B18" s="12">
        <v>0</v>
      </c>
      <c r="C18" s="10" t="s">
        <v>27</v>
      </c>
      <c r="D18" s="10"/>
    </row>
    <row r="19" spans="1:4" ht="12.75" x14ac:dyDescent="0.2">
      <c r="A19" s="11">
        <v>45031</v>
      </c>
      <c r="B19" s="12">
        <v>11</v>
      </c>
      <c r="C19" s="10" t="s">
        <v>28</v>
      </c>
      <c r="D19" s="10"/>
    </row>
    <row r="20" spans="1:4" ht="12.75" x14ac:dyDescent="0.2">
      <c r="A20" s="11">
        <v>45032</v>
      </c>
      <c r="B20" s="12">
        <v>4</v>
      </c>
      <c r="C20" s="10" t="s">
        <v>29</v>
      </c>
      <c r="D20" s="10"/>
    </row>
    <row r="21" spans="1:4" ht="12.75" x14ac:dyDescent="0.2">
      <c r="A21" s="11">
        <v>45033</v>
      </c>
      <c r="B21" s="12">
        <v>3.5</v>
      </c>
      <c r="C21" s="10" t="s">
        <v>30</v>
      </c>
      <c r="D21" s="10"/>
    </row>
    <row r="22" spans="1:4" ht="12.75" x14ac:dyDescent="0.2">
      <c r="A22" s="11">
        <v>45034</v>
      </c>
      <c r="B22" s="12">
        <v>0</v>
      </c>
      <c r="C22" s="10"/>
      <c r="D22" s="10"/>
    </row>
    <row r="23" spans="1:4" ht="12.75" x14ac:dyDescent="0.2">
      <c r="A23" s="11">
        <v>45035</v>
      </c>
      <c r="B23" s="12">
        <v>5</v>
      </c>
      <c r="C23" s="10" t="s">
        <v>31</v>
      </c>
      <c r="D23" s="10"/>
    </row>
    <row r="24" spans="1:4" ht="12.75" x14ac:dyDescent="0.2">
      <c r="A24" s="11">
        <v>45036</v>
      </c>
      <c r="B24" s="12">
        <v>0</v>
      </c>
      <c r="C24" s="10"/>
      <c r="D24" s="10"/>
    </row>
    <row r="25" spans="1:4" ht="12.75" x14ac:dyDescent="0.2">
      <c r="A25" s="11">
        <v>45037</v>
      </c>
      <c r="B25" s="12">
        <v>6</v>
      </c>
      <c r="C25" s="10"/>
      <c r="D25" s="10"/>
    </row>
    <row r="26" spans="1:4" ht="12.75" x14ac:dyDescent="0.2">
      <c r="A26" s="11">
        <v>45038</v>
      </c>
      <c r="B26" s="12">
        <v>6</v>
      </c>
      <c r="C26" s="10" t="s">
        <v>32</v>
      </c>
      <c r="D26" s="10"/>
    </row>
    <row r="27" spans="1:4" ht="12.75" x14ac:dyDescent="0.2">
      <c r="A27" s="11">
        <v>45039</v>
      </c>
      <c r="B27" s="12">
        <v>4</v>
      </c>
      <c r="C27" s="10" t="s">
        <v>33</v>
      </c>
      <c r="D27" s="10"/>
    </row>
    <row r="28" spans="1:4" ht="12.75" x14ac:dyDescent="0.2">
      <c r="A28" s="11">
        <v>45040</v>
      </c>
      <c r="B28" s="12">
        <v>1.5</v>
      </c>
      <c r="C28" s="10"/>
      <c r="D28" s="10"/>
    </row>
    <row r="29" spans="1:4" ht="12.75" x14ac:dyDescent="0.2">
      <c r="A29" s="11">
        <v>45041</v>
      </c>
      <c r="B29" s="12">
        <v>2</v>
      </c>
      <c r="C29" s="10"/>
      <c r="D29" s="10"/>
    </row>
    <row r="30" spans="1:4" ht="12.75" x14ac:dyDescent="0.2">
      <c r="A30" s="11">
        <v>45042</v>
      </c>
      <c r="B30" s="12">
        <v>0</v>
      </c>
      <c r="C30" s="10"/>
      <c r="D30" s="10"/>
    </row>
    <row r="31" spans="1:4" ht="12.75" x14ac:dyDescent="0.2">
      <c r="A31" s="11">
        <v>45043</v>
      </c>
      <c r="B31" s="12">
        <v>4.5</v>
      </c>
      <c r="C31" s="10" t="s">
        <v>34</v>
      </c>
      <c r="D31" s="10"/>
    </row>
    <row r="32" spans="1:4" ht="12.75" x14ac:dyDescent="0.2">
      <c r="A32" s="11">
        <v>45044</v>
      </c>
      <c r="B32" s="12">
        <v>7.5</v>
      </c>
      <c r="C32" s="10" t="s">
        <v>35</v>
      </c>
      <c r="D32" s="10"/>
    </row>
    <row r="33" spans="1:4" ht="12.75" x14ac:dyDescent="0.2">
      <c r="A33" s="11">
        <v>45045</v>
      </c>
      <c r="B33" s="12">
        <v>6</v>
      </c>
      <c r="C33" s="10" t="s">
        <v>36</v>
      </c>
      <c r="D33" s="10"/>
    </row>
    <row r="34" spans="1:4" ht="12.75" x14ac:dyDescent="0.2">
      <c r="A34" s="11">
        <v>45046</v>
      </c>
      <c r="B34" s="12">
        <v>8</v>
      </c>
      <c r="C34" s="10" t="s">
        <v>37</v>
      </c>
      <c r="D34" s="10"/>
    </row>
    <row r="35" spans="1:4" ht="12.75" x14ac:dyDescent="0.2">
      <c r="A35" s="11">
        <v>45047</v>
      </c>
      <c r="B35" s="12">
        <v>5</v>
      </c>
      <c r="C35" s="10" t="s">
        <v>38</v>
      </c>
      <c r="D35" s="10"/>
    </row>
    <row r="36" spans="1:4" ht="14.25" customHeight="1" x14ac:dyDescent="0.2">
      <c r="A36" s="11">
        <v>45048</v>
      </c>
      <c r="B36" s="12">
        <v>5</v>
      </c>
      <c r="C36" s="10" t="s">
        <v>39</v>
      </c>
      <c r="D36" s="10"/>
    </row>
    <row r="37" spans="1:4" ht="12.75" x14ac:dyDescent="0.2">
      <c r="A37" s="11">
        <v>45049</v>
      </c>
      <c r="B37" s="12">
        <v>6</v>
      </c>
      <c r="C37" s="1" t="s">
        <v>40</v>
      </c>
    </row>
    <row r="38" spans="1:4" ht="12.75" x14ac:dyDescent="0.2">
      <c r="A38" s="11">
        <v>45050</v>
      </c>
      <c r="B38" s="12">
        <v>1</v>
      </c>
      <c r="C38" s="15" t="s">
        <v>41</v>
      </c>
    </row>
    <row r="39" spans="1:4" ht="12.75" x14ac:dyDescent="0.2">
      <c r="A39" s="11">
        <v>45051</v>
      </c>
      <c r="B39" s="12">
        <v>3</v>
      </c>
      <c r="C39" s="15" t="s">
        <v>42</v>
      </c>
    </row>
    <row r="40" spans="1:4" ht="12.75" x14ac:dyDescent="0.2">
      <c r="A40" s="11">
        <v>45052</v>
      </c>
      <c r="B40" s="12">
        <v>7.5</v>
      </c>
    </row>
    <row r="41" spans="1:4" ht="12.75" x14ac:dyDescent="0.2">
      <c r="A41" s="11">
        <v>45053</v>
      </c>
      <c r="B41" s="12">
        <v>6.5</v>
      </c>
    </row>
    <row r="42" spans="1:4" ht="14.25" x14ac:dyDescent="0.2">
      <c r="A42" s="18">
        <v>45054</v>
      </c>
      <c r="B42" s="12">
        <v>5</v>
      </c>
      <c r="C42" s="15"/>
    </row>
    <row r="43" spans="1:4" ht="12.75" x14ac:dyDescent="0.2">
      <c r="A43" s="11">
        <v>45055</v>
      </c>
      <c r="B43" s="12">
        <v>4</v>
      </c>
    </row>
    <row r="44" spans="1:4" ht="12.75" x14ac:dyDescent="0.2">
      <c r="A44" s="11">
        <v>45056</v>
      </c>
      <c r="B44" s="12">
        <v>12</v>
      </c>
      <c r="C44" t="s">
        <v>50</v>
      </c>
    </row>
    <row r="45" spans="1:4" ht="12.75" x14ac:dyDescent="0.2">
      <c r="A45" s="11">
        <v>45057</v>
      </c>
      <c r="B45" s="12">
        <v>16.5</v>
      </c>
      <c r="C45" t="s">
        <v>51</v>
      </c>
    </row>
    <row r="46" spans="1:4" ht="12.75" x14ac:dyDescent="0.2">
      <c r="A46" s="11">
        <v>45058</v>
      </c>
      <c r="B46" s="12">
        <v>5</v>
      </c>
    </row>
    <row r="47" spans="1:4" ht="12.75" x14ac:dyDescent="0.2">
      <c r="A47" s="11">
        <v>45059</v>
      </c>
      <c r="B47" s="12">
        <v>0</v>
      </c>
    </row>
    <row r="48" spans="1:4" ht="12.75" x14ac:dyDescent="0.2">
      <c r="A48" s="11">
        <v>45060</v>
      </c>
      <c r="B48" s="12">
        <v>6</v>
      </c>
      <c r="C48" t="s">
        <v>52</v>
      </c>
    </row>
    <row r="49" spans="1:3" ht="12.75" x14ac:dyDescent="0.2">
      <c r="A49" s="11">
        <v>45061</v>
      </c>
      <c r="B49" s="12">
        <v>14</v>
      </c>
      <c r="C49" t="s">
        <v>53</v>
      </c>
    </row>
    <row r="50" spans="1:3" ht="12.75" x14ac:dyDescent="0.2">
      <c r="A50" s="11">
        <v>45062</v>
      </c>
      <c r="B50" s="12">
        <v>13</v>
      </c>
      <c r="C50" t="s">
        <v>54</v>
      </c>
    </row>
    <row r="51" spans="1:3" ht="12.75" x14ac:dyDescent="0.2">
      <c r="A51" s="11">
        <v>45063</v>
      </c>
      <c r="B51" s="12">
        <v>6</v>
      </c>
      <c r="C51" t="s">
        <v>56</v>
      </c>
    </row>
    <row r="52" spans="1:3" ht="12.75" x14ac:dyDescent="0.2">
      <c r="A52" s="11">
        <v>45064</v>
      </c>
      <c r="B52" s="12">
        <v>10</v>
      </c>
    </row>
    <row r="53" spans="1:3" ht="12.75" x14ac:dyDescent="0.2">
      <c r="A53" s="11">
        <v>45065</v>
      </c>
      <c r="B53" s="12">
        <v>9</v>
      </c>
    </row>
    <row r="54" spans="1:3" ht="12.75" x14ac:dyDescent="0.2">
      <c r="A54" s="11">
        <v>45066</v>
      </c>
      <c r="B54" s="12">
        <v>0</v>
      </c>
    </row>
    <row r="55" spans="1:3" ht="12.75" x14ac:dyDescent="0.2">
      <c r="A55" s="11">
        <v>45067</v>
      </c>
      <c r="B55" s="12">
        <v>10</v>
      </c>
      <c r="C55" t="s">
        <v>57</v>
      </c>
    </row>
    <row r="56" spans="1:3" ht="12.75" x14ac:dyDescent="0.2">
      <c r="A56" s="11">
        <v>45068</v>
      </c>
      <c r="B56" s="12">
        <v>11</v>
      </c>
      <c r="C56" t="s">
        <v>58</v>
      </c>
    </row>
    <row r="57" spans="1:3" ht="12.75" x14ac:dyDescent="0.2">
      <c r="A57" s="11">
        <v>45069</v>
      </c>
      <c r="B57" s="12">
        <v>12.5</v>
      </c>
      <c r="C57" t="s">
        <v>59</v>
      </c>
    </row>
    <row r="58" spans="1:3" ht="12.75" x14ac:dyDescent="0.2">
      <c r="A58" s="11">
        <v>45070</v>
      </c>
      <c r="B58" s="12">
        <v>10</v>
      </c>
    </row>
    <row r="59" spans="1:3" ht="12.75" x14ac:dyDescent="0.2">
      <c r="A59" s="11">
        <v>45071</v>
      </c>
      <c r="B59" s="12">
        <v>12</v>
      </c>
      <c r="C59" t="s">
        <v>60</v>
      </c>
    </row>
    <row r="60" spans="1:3" ht="12.75" x14ac:dyDescent="0.2">
      <c r="A60" s="11">
        <v>45072</v>
      </c>
      <c r="B60" s="12">
        <v>7.5</v>
      </c>
    </row>
    <row r="61" spans="1:3" ht="12.75" x14ac:dyDescent="0.2">
      <c r="A61" s="11">
        <v>45073</v>
      </c>
      <c r="B61" s="12">
        <v>0</v>
      </c>
    </row>
    <row r="62" spans="1:3" ht="12.75" x14ac:dyDescent="0.2">
      <c r="A62" s="11">
        <v>45074</v>
      </c>
      <c r="B62" s="12">
        <v>8.5</v>
      </c>
      <c r="C62" t="s">
        <v>61</v>
      </c>
    </row>
    <row r="63" spans="1:3" ht="12.75" x14ac:dyDescent="0.2">
      <c r="A63" s="11"/>
    </row>
    <row r="64" spans="1:3" ht="12.75" x14ac:dyDescent="0.2">
      <c r="A64" s="11"/>
    </row>
    <row r="65" spans="1:9" ht="12.75" x14ac:dyDescent="0.2">
      <c r="A65" s="11"/>
    </row>
    <row r="66" spans="1:9" ht="12.75" x14ac:dyDescent="0.2">
      <c r="A66" s="11"/>
    </row>
    <row r="67" spans="1:9" ht="12.75" x14ac:dyDescent="0.2">
      <c r="A67" s="11"/>
    </row>
    <row r="68" spans="1:9" ht="12.75" x14ac:dyDescent="0.2">
      <c r="A68" s="11"/>
    </row>
    <row r="69" spans="1:9" ht="12.75" x14ac:dyDescent="0.2">
      <c r="A69" s="11"/>
      <c r="F69" s="16"/>
      <c r="G69" s="16"/>
      <c r="H69" s="16"/>
      <c r="I69" s="19"/>
    </row>
    <row r="70" spans="1:9" ht="12.75" x14ac:dyDescent="0.2">
      <c r="A70" s="11"/>
    </row>
    <row r="71" spans="1:9" ht="12.75" x14ac:dyDescent="0.2">
      <c r="A71" s="11"/>
    </row>
    <row r="72" spans="1:9" ht="12.75" x14ac:dyDescent="0.2">
      <c r="A72" s="11"/>
    </row>
    <row r="73" spans="1:9" ht="12.75" x14ac:dyDescent="0.2">
      <c r="A73" s="11"/>
    </row>
    <row r="74" spans="1:9" ht="12.75" x14ac:dyDescent="0.2">
      <c r="A74" s="11"/>
    </row>
    <row r="75" spans="1:9" ht="12.75" x14ac:dyDescent="0.2">
      <c r="A75" s="11"/>
    </row>
    <row r="76" spans="1:9" ht="12.75" x14ac:dyDescent="0.2">
      <c r="A76" s="11"/>
    </row>
    <row r="77" spans="1:9" ht="12.75" x14ac:dyDescent="0.2">
      <c r="A77" s="11"/>
    </row>
    <row r="78" spans="1:9" ht="12.75" x14ac:dyDescent="0.2">
      <c r="A78" s="11"/>
    </row>
    <row r="79" spans="1:9" ht="12.75" x14ac:dyDescent="0.2">
      <c r="A79" s="11"/>
    </row>
    <row r="80" spans="1:9" ht="12.75" x14ac:dyDescent="0.2">
      <c r="A80" s="11"/>
    </row>
    <row r="81" spans="1:1" ht="12.75" x14ac:dyDescent="0.2">
      <c r="A81" s="11"/>
    </row>
  </sheetData>
  <conditionalFormatting sqref="G5">
    <cfRule type="cellIs" dxfId="0" priority="1" operator="greaterThan">
      <formula>0</formula>
    </cfRule>
    <cfRule type="colorScale" priority="2">
      <colorScale>
        <cfvo type="formula" val="$G$5&lt;=0"/>
        <cfvo type="formula" val="$G$5&gt;0"/>
        <color rgb="FF92D050"/>
        <color theme="5"/>
      </colorScale>
    </cfRule>
  </conditionalFormatting>
  <pageMargins left="0.7" right="0.7" top="0.75" bottom="0.75" header="0.3" footer="0.3"/>
  <pageSetup orientation="portrait" r:id="rId1"/>
</worksheet>
</file>

<file path=docMetadata/LabelInfo.xml><?xml version="1.0" encoding="utf-8"?>
<clbl:labelList xmlns:clbl="http://schemas.microsoft.com/office/2020/mipLabelMetadata">
  <clbl:label id="{d0cb1e24-a0e2-4a4c-9340-733297c9cd7c}" enabled="1" method="Privileged" siteId="{db1e96a8-a3da-442a-930b-235cac24cd5c}"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Boyle, William SESOL-IGN/X/E</dc:creator>
  <cp:lastModifiedBy>Will Boyle</cp:lastModifiedBy>
  <dcterms:created xsi:type="dcterms:W3CDTF">2023-05-06T22:13:09Z</dcterms:created>
  <dcterms:modified xsi:type="dcterms:W3CDTF">2023-05-30T00:15:28Z</dcterms:modified>
</cp:coreProperties>
</file>